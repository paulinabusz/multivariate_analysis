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inka\Desktop\Paulina\Studia\Rok IV\Wielowymiarowa analiza statystyczna\Wielowymiarowa Projekt Analiza Głównych Składowych\"/>
    </mc:Choice>
  </mc:AlternateContent>
  <bookViews>
    <workbookView xWindow="0" yWindow="0" windowWidth="21600" windowHeight="9516"/>
  </bookViews>
  <sheets>
    <sheet name="Macierz kowariancji" sheetId="1" r:id="rId1"/>
    <sheet name="Wartości własne" sheetId="2" r:id="rId2"/>
    <sheet name="Wartości właśne (centrowane)" sheetId="8" r:id="rId3"/>
    <sheet name="Główne składowe (centrowane)" sheetId="9" r:id="rId4"/>
    <sheet name="Główne składowe" sheetId="3" r:id="rId5"/>
    <sheet name="Ładunki" sheetId="5" r:id="rId6"/>
    <sheet name="Ładunki (centrowane)" sheetId="10" r:id="rId7"/>
    <sheet name="Regresja głównych składowych" sheetId="6" r:id="rId8"/>
    <sheet name="Regresja danych rzeczywistych" sheetId="7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8" l="1"/>
  <c r="B3" i="8"/>
  <c r="B4" i="8" s="1"/>
  <c r="B6" i="8" l="1"/>
  <c r="B5" i="2"/>
  <c r="B6" i="2" s="1"/>
  <c r="B3" i="2"/>
  <c r="B4" i="2" s="1"/>
</calcChain>
</file>

<file path=xl/sharedStrings.xml><?xml version="1.0" encoding="utf-8"?>
<sst xmlns="http://schemas.openxmlformats.org/spreadsheetml/2006/main" count="175" uniqueCount="94">
  <si>
    <t xml:space="preserve">Rail accidents  </t>
  </si>
  <si>
    <t>Persons killed in road accidents</t>
  </si>
  <si>
    <t>Length of motorways and e-roads</t>
  </si>
  <si>
    <t>Length of tracks</t>
  </si>
  <si>
    <t>Goods transport by rail</t>
  </si>
  <si>
    <t xml:space="preserve">Goods transport by road </t>
  </si>
  <si>
    <t xml:space="preserve">Passenger cars </t>
  </si>
  <si>
    <t>Wartości własne</t>
  </si>
  <si>
    <t>Suma:</t>
  </si>
  <si>
    <t>Średnia:</t>
  </si>
  <si>
    <t xml:space="preserve">          +</t>
  </si>
  <si>
    <t>%</t>
  </si>
  <si>
    <t>Comp.1</t>
  </si>
  <si>
    <t>Comp.2</t>
  </si>
  <si>
    <t>Comp.3</t>
  </si>
  <si>
    <t>Comp.4</t>
  </si>
  <si>
    <t>Comp.5</t>
  </si>
  <si>
    <t>Comp.6</t>
  </si>
  <si>
    <t>Standard deviation</t>
  </si>
  <si>
    <t>Proportion of Variance</t>
  </si>
  <si>
    <t>Cumulative Proportion</t>
  </si>
  <si>
    <t>Comp.7</t>
  </si>
  <si>
    <t>Estonia</t>
  </si>
  <si>
    <t>Ireland</t>
  </si>
  <si>
    <t>Spain</t>
  </si>
  <si>
    <t>Croatia</t>
  </si>
  <si>
    <t>Italy</t>
  </si>
  <si>
    <t>Hungary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</si>
  <si>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</si>
  <si>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</si>
  <si>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</si>
  <si>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</si>
  <si>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</si>
  <si>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</si>
  <si>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</si>
  <si>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</si>
  <si>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</si>
  <si>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Czech Republic</t>
  </si>
  <si>
    <t>United Kingdom</t>
  </si>
  <si>
    <t>1 Comp.</t>
  </si>
  <si>
    <t>2 Comp.</t>
  </si>
  <si>
    <t>t value</t>
  </si>
  <si>
    <t>Pr(&gt;|t|)</t>
  </si>
  <si>
    <t>***</t>
  </si>
  <si>
    <t>0.0245</t>
  </si>
  <si>
    <t>*</t>
  </si>
  <si>
    <t>Estimate</t>
  </si>
  <si>
    <t>Std. Error</t>
  </si>
  <si>
    <t>Kryterium informacyjne Akaikego</t>
  </si>
  <si>
    <t>Wartości własne dla danych scentrowancyh</t>
  </si>
  <si>
    <t xml:space="preserve">                                Comp.1 Comp.2 Comp.3 Comp.4 Comp.5 Comp.6 Comp.7</t>
  </si>
  <si>
    <t>Rail accidents                    0.000  0.000 -0.002  0.010 -0.012 -0.089  0.996</t>
  </si>
  <si>
    <t>Persons killed in road accidents  0.000  0.000 -0.008  0.059 -0.171 -0.979 -0.090</t>
  </si>
  <si>
    <t>Length of motorways and e-roads   0.000  0.006  0.039 -0.081 -0.982  0.166  0.004</t>
  </si>
  <si>
    <t>Length of tracks                 -0.001  0.019 -0.114  0.988 -0.073  0.073 -0.004</t>
  </si>
  <si>
    <t>Goods transport by rail          -0.002  0.086 -0.989 -0.118 -0.028  0.006  0.000</t>
  </si>
  <si>
    <t>Goods transport by road          -0.049  0.995  0.087 -0.008  0.010 -0.003  0.000</t>
  </si>
  <si>
    <t>Passenger cars                   -0.999 -0.049 -0.002  0.000  0.000  0.000  0.000</t>
  </si>
  <si>
    <t>Rail accidents</t>
  </si>
  <si>
    <t>0.000</t>
  </si>
  <si>
    <t>-0.002</t>
  </si>
  <si>
    <t>0.010</t>
  </si>
  <si>
    <t>-0.012</t>
  </si>
  <si>
    <t>-0.089</t>
  </si>
  <si>
    <t>0.996</t>
  </si>
  <si>
    <t>-0.008</t>
  </si>
  <si>
    <t>0.059</t>
  </si>
  <si>
    <t>-0.171</t>
  </si>
  <si>
    <t>-0.979</t>
  </si>
  <si>
    <t>-0.090</t>
  </si>
  <si>
    <t>0.006</t>
  </si>
  <si>
    <t>0.039</t>
  </si>
  <si>
    <t>-0.081</t>
  </si>
  <si>
    <t>-0.982</t>
  </si>
  <si>
    <t>0.166</t>
  </si>
  <si>
    <t>0.004</t>
  </si>
  <si>
    <t>-0.001</t>
  </si>
  <si>
    <t>0.019</t>
  </si>
  <si>
    <t>-0.114</t>
  </si>
  <si>
    <t>0.988</t>
  </si>
  <si>
    <t>-0.073</t>
  </si>
  <si>
    <t>0.073</t>
  </si>
  <si>
    <t>-0.004</t>
  </si>
  <si>
    <t>0.086</t>
  </si>
  <si>
    <t>-0.989</t>
  </si>
  <si>
    <t>-0.118</t>
  </si>
  <si>
    <t>-0.028</t>
  </si>
  <si>
    <t>Goods transport by road</t>
  </si>
  <si>
    <t>-0.049</t>
  </si>
  <si>
    <t>0.995</t>
  </si>
  <si>
    <t>0.087</t>
  </si>
  <si>
    <t>-0.003</t>
  </si>
  <si>
    <t>Passenger cars</t>
  </si>
  <si>
    <t>-0.999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</si>
</sst>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00000"/>
    <numFmt numFmtId="165" formatCode="0.000000"/>
    <numFmt numFmtId="166" formatCode="0.000"/>
  </numFmts>
  <fonts count="4" x14ac:knownFonts="1">
    <font>
      <sz val="11"/>
      <color theme="1"/>
      <name val="Calibri"/>
      <family val="2"/>
      <charset val="238"/>
      <scheme val="minor"/>
    </font>
    <font>
      <sz val="10"/>
      <color rgb="FF000000"/>
      <name val="Lucida Console"/>
      <family val="3"/>
      <charset val="238"/>
    </font>
    <font>
      <sz val="8"/>
      <color theme="1"/>
      <name val="Calibri Light"/>
      <family val="2"/>
      <charset val="238"/>
      <scheme val="major"/>
    </font>
    <font>
      <sz val="8"/>
      <color rgb="FF000000"/>
      <name val="Calibri Light"/>
      <family val="2"/>
      <charset val="23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64" fontId="2" fillId="0" borderId="0" xfId="0" applyNumberFormat="1" applyFont="1"/>
    <xf numFmtId="164" fontId="3" fillId="2" borderId="1" xfId="0" applyNumberFormat="1" applyFont="1" applyFill="1" applyBorder="1" applyAlignment="1">
      <alignment vertical="center"/>
    </xf>
    <xf numFmtId="166" fontId="3" fillId="0" borderId="1" xfId="0" applyNumberFormat="1" applyFont="1" applyBorder="1" applyAlignment="1">
      <alignment vertical="center"/>
    </xf>
    <xf numFmtId="166" fontId="2" fillId="0" borderId="1" xfId="0" applyNumberFormat="1" applyFont="1" applyBorder="1"/>
    <xf numFmtId="10" fontId="3" fillId="0" borderId="1" xfId="0" applyNumberFormat="1" applyFont="1" applyBorder="1" applyAlignment="1">
      <alignment vertical="center"/>
    </xf>
    <xf numFmtId="166" fontId="2" fillId="0" borderId="1" xfId="0" applyNumberFormat="1" applyFont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0" fillId="0" borderId="0" xfId="0" applyBorder="1"/>
    <xf numFmtId="166" fontId="2" fillId="0" borderId="0" xfId="0" applyNumberFormat="1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670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pole tekstowe 19">
              <a:extLst>
                <a:ext uri="{FF2B5EF4-FFF2-40B4-BE49-F238E27FC236}">
                  <a16:creationId xmlns:a16="http://schemas.microsoft.com/office/drawing/2014/main" id="{B1912EF9-C8CA-4296-B631-7A804532CD63}"/>
                </a:ext>
              </a:extLst>
            </xdr:cNvPr>
            <xdr:cNvSpPr txBox="1"/>
          </xdr:nvSpPr>
          <xdr:spPr>
            <a:xfrm>
              <a:off x="1876425" y="0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0" name="pole tekstowe 19">
              <a:extLst>
                <a:ext uri="{FF2B5EF4-FFF2-40B4-BE49-F238E27FC236}">
                  <a16:creationId xmlns:a16="http://schemas.microsoft.com/office/drawing/2014/main" id="{B1912EF9-C8CA-4296-B631-7A804532CD63}"/>
                </a:ext>
              </a:extLst>
            </xdr:cNvPr>
            <xdr:cNvSpPr txBox="1"/>
          </xdr:nvSpPr>
          <xdr:spPr>
            <a:xfrm>
              <a:off x="1876425" y="0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1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0</xdr:row>
      <xdr:rowOff>0</xdr:rowOff>
    </xdr:from>
    <xdr:ext cx="17030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pole tekstowe 20">
              <a:extLst>
                <a:ext uri="{FF2B5EF4-FFF2-40B4-BE49-F238E27FC236}">
                  <a16:creationId xmlns:a16="http://schemas.microsoft.com/office/drawing/2014/main" id="{E66542C4-3A9C-442A-87D9-46C1BED8EC62}"/>
                </a:ext>
              </a:extLst>
            </xdr:cNvPr>
            <xdr:cNvSpPr txBox="1"/>
          </xdr:nvSpPr>
          <xdr:spPr>
            <a:xfrm>
              <a:off x="1104900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1" name="pole tekstowe 20">
              <a:extLst>
                <a:ext uri="{FF2B5EF4-FFF2-40B4-BE49-F238E27FC236}">
                  <a16:creationId xmlns:a16="http://schemas.microsoft.com/office/drawing/2014/main" id="{E66542C4-3A9C-442A-87D9-46C1BED8EC62}"/>
                </a:ext>
              </a:extLst>
            </xdr:cNvPr>
            <xdr:cNvSpPr txBox="1"/>
          </xdr:nvSpPr>
          <xdr:spPr>
            <a:xfrm>
              <a:off x="1104900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2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0</xdr:row>
      <xdr:rowOff>0</xdr:rowOff>
    </xdr:from>
    <xdr:ext cx="17030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pole tekstowe 21">
              <a:extLst>
                <a:ext uri="{FF2B5EF4-FFF2-40B4-BE49-F238E27FC236}">
                  <a16:creationId xmlns:a16="http://schemas.microsoft.com/office/drawing/2014/main" id="{DDC3E3D3-27E5-4826-9C7B-087327F8FF3C}"/>
                </a:ext>
              </a:extLst>
            </xdr:cNvPr>
            <xdr:cNvSpPr txBox="1"/>
          </xdr:nvSpPr>
          <xdr:spPr>
            <a:xfrm>
              <a:off x="1457325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2" name="pole tekstowe 21">
              <a:extLst>
                <a:ext uri="{FF2B5EF4-FFF2-40B4-BE49-F238E27FC236}">
                  <a16:creationId xmlns:a16="http://schemas.microsoft.com/office/drawing/2014/main" id="{DDC3E3D3-27E5-4826-9C7B-087327F8FF3C}"/>
                </a:ext>
              </a:extLst>
            </xdr:cNvPr>
            <xdr:cNvSpPr txBox="1"/>
          </xdr:nvSpPr>
          <xdr:spPr>
            <a:xfrm>
              <a:off x="1457325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3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1943</xdr:colOff>
      <xdr:row>0</xdr:row>
      <xdr:rowOff>0</xdr:rowOff>
    </xdr:from>
    <xdr:ext cx="17030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pole tekstowe 22">
              <a:extLst>
                <a:ext uri="{FF2B5EF4-FFF2-40B4-BE49-F238E27FC236}">
                  <a16:creationId xmlns:a16="http://schemas.microsoft.com/office/drawing/2014/main" id="{B7B87BDE-0868-4AEC-969D-0839F0534F05}"/>
                </a:ext>
              </a:extLst>
            </xdr:cNvPr>
            <xdr:cNvSpPr txBox="1"/>
          </xdr:nvSpPr>
          <xdr:spPr>
            <a:xfrm>
              <a:off x="1811693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3" name="pole tekstowe 22">
              <a:extLst>
                <a:ext uri="{FF2B5EF4-FFF2-40B4-BE49-F238E27FC236}">
                  <a16:creationId xmlns:a16="http://schemas.microsoft.com/office/drawing/2014/main" id="{B7B87BDE-0868-4AEC-969D-0839F0534F05}"/>
                </a:ext>
              </a:extLst>
            </xdr:cNvPr>
            <xdr:cNvSpPr txBox="1"/>
          </xdr:nvSpPr>
          <xdr:spPr>
            <a:xfrm>
              <a:off x="1811693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4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5</xdr:col>
      <xdr:colOff>1944</xdr:colOff>
      <xdr:row>0</xdr:row>
      <xdr:rowOff>0</xdr:rowOff>
    </xdr:from>
    <xdr:ext cx="17030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pole tekstowe 23">
              <a:extLst>
                <a:ext uri="{FF2B5EF4-FFF2-40B4-BE49-F238E27FC236}">
                  <a16:creationId xmlns:a16="http://schemas.microsoft.com/office/drawing/2014/main" id="{322CC23C-5309-44D5-B6ED-66643B88800B}"/>
                </a:ext>
              </a:extLst>
            </xdr:cNvPr>
            <xdr:cNvSpPr txBox="1"/>
          </xdr:nvSpPr>
          <xdr:spPr>
            <a:xfrm>
              <a:off x="2164119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4" name="pole tekstowe 23">
              <a:extLst>
                <a:ext uri="{FF2B5EF4-FFF2-40B4-BE49-F238E27FC236}">
                  <a16:creationId xmlns:a16="http://schemas.microsoft.com/office/drawing/2014/main" id="{322CC23C-5309-44D5-B6ED-66643B88800B}"/>
                </a:ext>
              </a:extLst>
            </xdr:cNvPr>
            <xdr:cNvSpPr txBox="1"/>
          </xdr:nvSpPr>
          <xdr:spPr>
            <a:xfrm>
              <a:off x="2164119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5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0</xdr:row>
      <xdr:rowOff>0</xdr:rowOff>
    </xdr:from>
    <xdr:ext cx="17030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pole tekstowe 24">
              <a:extLst>
                <a:ext uri="{FF2B5EF4-FFF2-40B4-BE49-F238E27FC236}">
                  <a16:creationId xmlns:a16="http://schemas.microsoft.com/office/drawing/2014/main" id="{E3E4BEF9-1743-4D9F-98E4-0EE9F474FA92}"/>
                </a:ext>
              </a:extLst>
            </xdr:cNvPr>
            <xdr:cNvSpPr txBox="1"/>
          </xdr:nvSpPr>
          <xdr:spPr>
            <a:xfrm>
              <a:off x="2514600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5" name="pole tekstowe 24">
              <a:extLst>
                <a:ext uri="{FF2B5EF4-FFF2-40B4-BE49-F238E27FC236}">
                  <a16:creationId xmlns:a16="http://schemas.microsoft.com/office/drawing/2014/main" id="{E3E4BEF9-1743-4D9F-98E4-0EE9F474FA92}"/>
                </a:ext>
              </a:extLst>
            </xdr:cNvPr>
            <xdr:cNvSpPr txBox="1"/>
          </xdr:nvSpPr>
          <xdr:spPr>
            <a:xfrm>
              <a:off x="2514600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6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0</xdr:row>
      <xdr:rowOff>0</xdr:rowOff>
    </xdr:from>
    <xdr:ext cx="17030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pole tekstowe 25">
              <a:extLst>
                <a:ext uri="{FF2B5EF4-FFF2-40B4-BE49-F238E27FC236}">
                  <a16:creationId xmlns:a16="http://schemas.microsoft.com/office/drawing/2014/main" id="{59A79754-79B5-4DCB-B22A-BCD89D385DAE}"/>
                </a:ext>
              </a:extLst>
            </xdr:cNvPr>
            <xdr:cNvSpPr txBox="1"/>
          </xdr:nvSpPr>
          <xdr:spPr>
            <a:xfrm>
              <a:off x="2867025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7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6" name="pole tekstowe 25">
              <a:extLst>
                <a:ext uri="{FF2B5EF4-FFF2-40B4-BE49-F238E27FC236}">
                  <a16:creationId xmlns:a16="http://schemas.microsoft.com/office/drawing/2014/main" id="{59A79754-79B5-4DCB-B22A-BCD89D385DAE}"/>
                </a:ext>
              </a:extLst>
            </xdr:cNvPr>
            <xdr:cNvSpPr txBox="1"/>
          </xdr:nvSpPr>
          <xdr:spPr>
            <a:xfrm>
              <a:off x="2867025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7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25831</xdr:colOff>
      <xdr:row>4</xdr:row>
      <xdr:rowOff>8072</xdr:rowOff>
    </xdr:from>
    <xdr:ext cx="167032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7" name="pole tekstowe 26">
              <a:extLst>
                <a:ext uri="{FF2B5EF4-FFF2-40B4-BE49-F238E27FC236}">
                  <a16:creationId xmlns:a16="http://schemas.microsoft.com/office/drawing/2014/main" id="{2290D00A-C585-455F-ACE4-4B56A377299F}"/>
                </a:ext>
              </a:extLst>
            </xdr:cNvPr>
            <xdr:cNvSpPr txBox="1"/>
          </xdr:nvSpPr>
          <xdr:spPr>
            <a:xfrm>
              <a:off x="25831" y="770072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7" name="pole tekstowe 26">
              <a:extLst>
                <a:ext uri="{FF2B5EF4-FFF2-40B4-BE49-F238E27FC236}">
                  <a16:creationId xmlns:a16="http://schemas.microsoft.com/office/drawing/2014/main" id="{2290D00A-C585-455F-ACE4-4B56A377299F}"/>
                </a:ext>
              </a:extLst>
            </xdr:cNvPr>
            <xdr:cNvSpPr txBox="1"/>
          </xdr:nvSpPr>
          <xdr:spPr>
            <a:xfrm>
              <a:off x="25831" y="770072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1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295275</xdr:colOff>
      <xdr:row>4</xdr:row>
      <xdr:rowOff>16144</xdr:rowOff>
    </xdr:from>
    <xdr:ext cx="170303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8" name="pole tekstowe 27">
              <a:extLst>
                <a:ext uri="{FF2B5EF4-FFF2-40B4-BE49-F238E27FC236}">
                  <a16:creationId xmlns:a16="http://schemas.microsoft.com/office/drawing/2014/main" id="{6D7189B0-8507-46CC-9A98-FCADC2120D01}"/>
                </a:ext>
              </a:extLst>
            </xdr:cNvPr>
            <xdr:cNvSpPr txBox="1"/>
          </xdr:nvSpPr>
          <xdr:spPr>
            <a:xfrm>
              <a:off x="295275" y="778144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 xmlns="">
        <xdr:sp macro="" textlink="">
          <xdr:nvSpPr>
            <xdr:cNvPr id="28" name="pole tekstowe 27">
              <a:extLst>
                <a:ext uri="{FF2B5EF4-FFF2-40B4-BE49-F238E27FC236}">
                  <a16:creationId xmlns:a16="http://schemas.microsoft.com/office/drawing/2014/main" id="{6D7189B0-8507-46CC-9A98-FCADC2120D01}"/>
                </a:ext>
              </a:extLst>
            </xdr:cNvPr>
            <xdr:cNvSpPr txBox="1"/>
          </xdr:nvSpPr>
          <xdr:spPr>
            <a:xfrm>
              <a:off x="295275" y="778144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2</a:t>
              </a:r>
              <a:endParaRPr lang="pl-PL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67032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pole tekstowe 19">
              <a:extLst>
                <a:ext uri="{FF2B5EF4-FFF2-40B4-BE49-F238E27FC236}">
                  <a16:creationId xmlns:a16="http://schemas.microsoft.com/office/drawing/2014/main" id="{1E3DFE2F-062C-4EE5-8D74-611A2C101688}"/>
                </a:ext>
              </a:extLst>
            </xdr:cNvPr>
            <xdr:cNvSpPr txBox="1"/>
          </xdr:nvSpPr>
          <xdr:spPr>
            <a:xfrm>
              <a:off x="777240" y="0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>
        <xdr:sp macro="" textlink="">
          <xdr:nvSpPr>
            <xdr:cNvPr id="2" name="pole tekstowe 19">
              <a:extLst>
                <a:ext uri="{FF2B5EF4-FFF2-40B4-BE49-F238E27FC236}">
                  <a16:creationId xmlns:a16="http://schemas.microsoft.com/office/drawing/2014/main" id="{1E3DFE2F-062C-4EE5-8D74-611A2C101688}"/>
                </a:ext>
              </a:extLst>
            </xdr:cNvPr>
            <xdr:cNvSpPr txBox="1"/>
          </xdr:nvSpPr>
          <xdr:spPr>
            <a:xfrm>
              <a:off x="777240" y="0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1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2</xdr:col>
      <xdr:colOff>0</xdr:colOff>
      <xdr:row>0</xdr:row>
      <xdr:rowOff>0</xdr:rowOff>
    </xdr:from>
    <xdr:ext cx="170303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pole tekstowe 20">
              <a:extLst>
                <a:ext uri="{FF2B5EF4-FFF2-40B4-BE49-F238E27FC236}">
                  <a16:creationId xmlns:a16="http://schemas.microsoft.com/office/drawing/2014/main" id="{C86FEEA5-12A4-47D1-997D-9F143508905E}"/>
                </a:ext>
              </a:extLst>
            </xdr:cNvPr>
            <xdr:cNvSpPr txBox="1"/>
          </xdr:nvSpPr>
          <xdr:spPr>
            <a:xfrm>
              <a:off x="1287780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>
        <xdr:sp macro="" textlink="">
          <xdr:nvSpPr>
            <xdr:cNvPr id="3" name="pole tekstowe 20">
              <a:extLst>
                <a:ext uri="{FF2B5EF4-FFF2-40B4-BE49-F238E27FC236}">
                  <a16:creationId xmlns:a16="http://schemas.microsoft.com/office/drawing/2014/main" id="{C86FEEA5-12A4-47D1-997D-9F143508905E}"/>
                </a:ext>
              </a:extLst>
            </xdr:cNvPr>
            <xdr:cNvSpPr txBox="1"/>
          </xdr:nvSpPr>
          <xdr:spPr>
            <a:xfrm>
              <a:off x="1287780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2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3</xdr:col>
      <xdr:colOff>0</xdr:colOff>
      <xdr:row>0</xdr:row>
      <xdr:rowOff>0</xdr:rowOff>
    </xdr:from>
    <xdr:ext cx="170303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pole tekstowe 21">
              <a:extLst>
                <a:ext uri="{FF2B5EF4-FFF2-40B4-BE49-F238E27FC236}">
                  <a16:creationId xmlns:a16="http://schemas.microsoft.com/office/drawing/2014/main" id="{65128F78-84E6-4002-B61B-06C707B5E0B7}"/>
                </a:ext>
              </a:extLst>
            </xdr:cNvPr>
            <xdr:cNvSpPr txBox="1"/>
          </xdr:nvSpPr>
          <xdr:spPr>
            <a:xfrm>
              <a:off x="1653540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3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>
        <xdr:sp macro="" textlink="">
          <xdr:nvSpPr>
            <xdr:cNvPr id="4" name="pole tekstowe 21">
              <a:extLst>
                <a:ext uri="{FF2B5EF4-FFF2-40B4-BE49-F238E27FC236}">
                  <a16:creationId xmlns:a16="http://schemas.microsoft.com/office/drawing/2014/main" id="{65128F78-84E6-4002-B61B-06C707B5E0B7}"/>
                </a:ext>
              </a:extLst>
            </xdr:cNvPr>
            <xdr:cNvSpPr txBox="1"/>
          </xdr:nvSpPr>
          <xdr:spPr>
            <a:xfrm>
              <a:off x="1653540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3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4</xdr:col>
      <xdr:colOff>1943</xdr:colOff>
      <xdr:row>0</xdr:row>
      <xdr:rowOff>0</xdr:rowOff>
    </xdr:from>
    <xdr:ext cx="170303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pole tekstowe 22">
              <a:extLst>
                <a:ext uri="{FF2B5EF4-FFF2-40B4-BE49-F238E27FC236}">
                  <a16:creationId xmlns:a16="http://schemas.microsoft.com/office/drawing/2014/main" id="{C70992C2-A432-4076-AC62-9FE077751561}"/>
                </a:ext>
              </a:extLst>
            </xdr:cNvPr>
            <xdr:cNvSpPr txBox="1"/>
          </xdr:nvSpPr>
          <xdr:spPr>
            <a:xfrm>
              <a:off x="2021243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4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>
        <xdr:sp macro="" textlink="">
          <xdr:nvSpPr>
            <xdr:cNvPr id="5" name="pole tekstowe 22">
              <a:extLst>
                <a:ext uri="{FF2B5EF4-FFF2-40B4-BE49-F238E27FC236}">
                  <a16:creationId xmlns:a16="http://schemas.microsoft.com/office/drawing/2014/main" id="{C70992C2-A432-4076-AC62-9FE077751561}"/>
                </a:ext>
              </a:extLst>
            </xdr:cNvPr>
            <xdr:cNvSpPr txBox="1"/>
          </xdr:nvSpPr>
          <xdr:spPr>
            <a:xfrm>
              <a:off x="2021243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4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5</xdr:col>
      <xdr:colOff>1944</xdr:colOff>
      <xdr:row>0</xdr:row>
      <xdr:rowOff>0</xdr:rowOff>
    </xdr:from>
    <xdr:ext cx="170303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pole tekstowe 23">
              <a:extLst>
                <a:ext uri="{FF2B5EF4-FFF2-40B4-BE49-F238E27FC236}">
                  <a16:creationId xmlns:a16="http://schemas.microsoft.com/office/drawing/2014/main" id="{252D5581-0AB3-4454-89F9-3E9447FB1A74}"/>
                </a:ext>
              </a:extLst>
            </xdr:cNvPr>
            <xdr:cNvSpPr txBox="1"/>
          </xdr:nvSpPr>
          <xdr:spPr>
            <a:xfrm>
              <a:off x="2387004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5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>
        <xdr:sp macro="" textlink="">
          <xdr:nvSpPr>
            <xdr:cNvPr id="6" name="pole tekstowe 23">
              <a:extLst>
                <a:ext uri="{FF2B5EF4-FFF2-40B4-BE49-F238E27FC236}">
                  <a16:creationId xmlns:a16="http://schemas.microsoft.com/office/drawing/2014/main" id="{252D5581-0AB3-4454-89F9-3E9447FB1A74}"/>
                </a:ext>
              </a:extLst>
            </xdr:cNvPr>
            <xdr:cNvSpPr txBox="1"/>
          </xdr:nvSpPr>
          <xdr:spPr>
            <a:xfrm>
              <a:off x="2387004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5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6</xdr:col>
      <xdr:colOff>0</xdr:colOff>
      <xdr:row>0</xdr:row>
      <xdr:rowOff>0</xdr:rowOff>
    </xdr:from>
    <xdr:ext cx="170303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pole tekstowe 24">
              <a:extLst>
                <a:ext uri="{FF2B5EF4-FFF2-40B4-BE49-F238E27FC236}">
                  <a16:creationId xmlns:a16="http://schemas.microsoft.com/office/drawing/2014/main" id="{BFDBF79C-0A16-4048-AAF5-CB33CD9354C3}"/>
                </a:ext>
              </a:extLst>
            </xdr:cNvPr>
            <xdr:cNvSpPr txBox="1"/>
          </xdr:nvSpPr>
          <xdr:spPr>
            <a:xfrm>
              <a:off x="2750820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6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>
        <xdr:sp macro="" textlink="">
          <xdr:nvSpPr>
            <xdr:cNvPr id="7" name="pole tekstowe 24">
              <a:extLst>
                <a:ext uri="{FF2B5EF4-FFF2-40B4-BE49-F238E27FC236}">
                  <a16:creationId xmlns:a16="http://schemas.microsoft.com/office/drawing/2014/main" id="{BFDBF79C-0A16-4048-AAF5-CB33CD9354C3}"/>
                </a:ext>
              </a:extLst>
            </xdr:cNvPr>
            <xdr:cNvSpPr txBox="1"/>
          </xdr:nvSpPr>
          <xdr:spPr>
            <a:xfrm>
              <a:off x="2750820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6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7</xdr:col>
      <xdr:colOff>0</xdr:colOff>
      <xdr:row>0</xdr:row>
      <xdr:rowOff>0</xdr:rowOff>
    </xdr:from>
    <xdr:ext cx="170303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pole tekstowe 25">
              <a:extLst>
                <a:ext uri="{FF2B5EF4-FFF2-40B4-BE49-F238E27FC236}">
                  <a16:creationId xmlns:a16="http://schemas.microsoft.com/office/drawing/2014/main" id="{71E326E4-0E57-416E-8701-60602602970C}"/>
                </a:ext>
              </a:extLst>
            </xdr:cNvPr>
            <xdr:cNvSpPr txBox="1"/>
          </xdr:nvSpPr>
          <xdr:spPr>
            <a:xfrm>
              <a:off x="3116580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7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>
        <xdr:sp macro="" textlink="">
          <xdr:nvSpPr>
            <xdr:cNvPr id="8" name="pole tekstowe 25">
              <a:extLst>
                <a:ext uri="{FF2B5EF4-FFF2-40B4-BE49-F238E27FC236}">
                  <a16:creationId xmlns:a16="http://schemas.microsoft.com/office/drawing/2014/main" id="{71E326E4-0E57-416E-8701-60602602970C}"/>
                </a:ext>
              </a:extLst>
            </xdr:cNvPr>
            <xdr:cNvSpPr txBox="1"/>
          </xdr:nvSpPr>
          <xdr:spPr>
            <a:xfrm>
              <a:off x="3116580" y="0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7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25831</xdr:colOff>
      <xdr:row>4</xdr:row>
      <xdr:rowOff>8072</xdr:rowOff>
    </xdr:from>
    <xdr:ext cx="167032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pole tekstowe 26">
              <a:extLst>
                <a:ext uri="{FF2B5EF4-FFF2-40B4-BE49-F238E27FC236}">
                  <a16:creationId xmlns:a16="http://schemas.microsoft.com/office/drawing/2014/main" id="{206B6FC2-25BE-4D10-B9A6-84107C7416B5}"/>
                </a:ext>
              </a:extLst>
            </xdr:cNvPr>
            <xdr:cNvSpPr txBox="1"/>
          </xdr:nvSpPr>
          <xdr:spPr>
            <a:xfrm>
              <a:off x="25831" y="739592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>
        <xdr:sp macro="" textlink="">
          <xdr:nvSpPr>
            <xdr:cNvPr id="9" name="pole tekstowe 26">
              <a:extLst>
                <a:ext uri="{FF2B5EF4-FFF2-40B4-BE49-F238E27FC236}">
                  <a16:creationId xmlns:a16="http://schemas.microsoft.com/office/drawing/2014/main" id="{206B6FC2-25BE-4D10-B9A6-84107C7416B5}"/>
                </a:ext>
              </a:extLst>
            </xdr:cNvPr>
            <xdr:cNvSpPr txBox="1"/>
          </xdr:nvSpPr>
          <xdr:spPr>
            <a:xfrm>
              <a:off x="25831" y="739592"/>
              <a:ext cx="167032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1</a:t>
              </a:r>
              <a:endParaRPr lang="pl-PL" sz="1100"/>
            </a:p>
          </xdr:txBody>
        </xdr:sp>
      </mc:Fallback>
    </mc:AlternateContent>
    <xdr:clientData/>
  </xdr:oneCellAnchor>
  <xdr:oneCellAnchor>
    <xdr:from>
      <xdr:col>0</xdr:col>
      <xdr:colOff>295275</xdr:colOff>
      <xdr:row>4</xdr:row>
      <xdr:rowOff>16144</xdr:rowOff>
    </xdr:from>
    <xdr:ext cx="170303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pole tekstowe 27">
              <a:extLst>
                <a:ext uri="{FF2B5EF4-FFF2-40B4-BE49-F238E27FC236}">
                  <a16:creationId xmlns:a16="http://schemas.microsoft.com/office/drawing/2014/main" id="{8B4CF4DD-590D-4671-8BCA-D508679CC302}"/>
                </a:ext>
              </a:extLst>
            </xdr:cNvPr>
            <xdr:cNvSpPr txBox="1"/>
          </xdr:nvSpPr>
          <xdr:spPr>
            <a:xfrm>
              <a:off x="295275" y="747664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pl-PL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l-GR" sz="1100" i="1">
                            <a:latin typeface="Cambria Math" panose="02040503050406030204" pitchFamily="18" charset="0"/>
                          </a:rPr>
                          <m:t>𝜆</m:t>
                        </m:r>
                      </m:e>
                      <m:sub>
                        <m:r>
                          <a:rPr lang="pl-PL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</m:oMath>
                </m:oMathPara>
              </a14:m>
              <a:endParaRPr lang="pl-PL" sz="1100"/>
            </a:p>
          </xdr:txBody>
        </xdr:sp>
      </mc:Choice>
      <mc:Fallback>
        <xdr:sp macro="" textlink="">
          <xdr:nvSpPr>
            <xdr:cNvPr id="10" name="pole tekstowe 27">
              <a:extLst>
                <a:ext uri="{FF2B5EF4-FFF2-40B4-BE49-F238E27FC236}">
                  <a16:creationId xmlns:a16="http://schemas.microsoft.com/office/drawing/2014/main" id="{8B4CF4DD-590D-4671-8BCA-D508679CC302}"/>
                </a:ext>
              </a:extLst>
            </xdr:cNvPr>
            <xdr:cNvSpPr txBox="1"/>
          </xdr:nvSpPr>
          <xdr:spPr>
            <a:xfrm>
              <a:off x="295275" y="747664"/>
              <a:ext cx="170303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l-GR" sz="1100" i="0">
                  <a:latin typeface="Cambria Math" panose="02040503050406030204" pitchFamily="18" charset="0"/>
                </a:rPr>
                <a:t>𝜆</a:t>
              </a:r>
              <a:r>
                <a:rPr lang="pl-PL" sz="1100" i="0">
                  <a:latin typeface="Cambria Math" panose="02040503050406030204" pitchFamily="18" charset="0"/>
                </a:rPr>
                <a:t>_</a:t>
              </a:r>
              <a:r>
                <a:rPr lang="pl-PL" sz="1100" b="0" i="0">
                  <a:latin typeface="Cambria Math" panose="02040503050406030204" pitchFamily="18" charset="0"/>
                </a:rPr>
                <a:t>2</a:t>
              </a:r>
              <a:endParaRPr lang="pl-PL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E15" sqref="E15"/>
    </sheetView>
  </sheetViews>
  <sheetFormatPr defaultRowHeight="14.4" x14ac:dyDescent="0.3"/>
  <cols>
    <col min="1" max="1" width="17.33203125" customWidth="1"/>
    <col min="2" max="7" width="9.88671875" style="4" customWidth="1"/>
    <col min="8" max="8" width="10.109375" style="4" customWidth="1"/>
  </cols>
  <sheetData>
    <row r="1" spans="1:11" ht="34.5" customHeight="1" x14ac:dyDescent="0.3">
      <c r="A1" s="7"/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2"/>
      <c r="J1" s="2"/>
      <c r="K1" s="2"/>
    </row>
    <row r="2" spans="1:11" s="4" customFormat="1" ht="12.75" customHeight="1" x14ac:dyDescent="0.3">
      <c r="A2" s="15" t="s">
        <v>0</v>
      </c>
      <c r="B2" s="13">
        <v>1</v>
      </c>
      <c r="C2" s="13">
        <v>0.65976299999999999</v>
      </c>
      <c r="D2" s="13">
        <v>-0.13958517000000001</v>
      </c>
      <c r="E2" s="13">
        <v>0.69983470000000003</v>
      </c>
      <c r="F2" s="13">
        <v>0.79631346999999997</v>
      </c>
      <c r="G2" s="13">
        <v>0.26398719999999998</v>
      </c>
      <c r="H2" s="13">
        <v>0.21147350000000001</v>
      </c>
      <c r="I2" s="3"/>
      <c r="J2" s="3"/>
      <c r="K2" s="3"/>
    </row>
    <row r="3" spans="1:11" s="4" customFormat="1" ht="21" customHeight="1" x14ac:dyDescent="0.3">
      <c r="A3" s="15" t="s">
        <v>1</v>
      </c>
      <c r="B3" s="13">
        <v>0.65976299999999999</v>
      </c>
      <c r="C3" s="13">
        <v>1</v>
      </c>
      <c r="D3" s="13">
        <v>0.48121602000000002</v>
      </c>
      <c r="E3" s="13">
        <v>0.83805260000000004</v>
      </c>
      <c r="F3" s="13">
        <v>0.60470002</v>
      </c>
      <c r="G3" s="13">
        <v>0.80446410000000002</v>
      </c>
      <c r="H3" s="13">
        <v>0.82991649999999995</v>
      </c>
      <c r="I3" s="3"/>
      <c r="J3" s="3"/>
      <c r="K3" s="3"/>
    </row>
    <row r="4" spans="1:11" s="4" customFormat="1" ht="21.75" customHeight="1" x14ac:dyDescent="0.3">
      <c r="A4" s="15" t="s">
        <v>2</v>
      </c>
      <c r="B4" s="13">
        <v>-0.13958519999999999</v>
      </c>
      <c r="C4" s="13">
        <v>0.48121599999999998</v>
      </c>
      <c r="D4" s="13">
        <v>1</v>
      </c>
      <c r="E4" s="13">
        <v>0.32002249999999999</v>
      </c>
      <c r="F4" s="13">
        <v>-8.4385760000000004E-2</v>
      </c>
      <c r="G4" s="13">
        <v>0.72816669999999994</v>
      </c>
      <c r="H4" s="13">
        <v>0.66213650000000002</v>
      </c>
      <c r="I4" s="3"/>
      <c r="J4" s="3"/>
      <c r="K4" s="3"/>
    </row>
    <row r="5" spans="1:11" s="4" customFormat="1" ht="12.75" customHeight="1" x14ac:dyDescent="0.3">
      <c r="A5" s="15" t="s">
        <v>3</v>
      </c>
      <c r="B5" s="13">
        <v>0.69983470000000003</v>
      </c>
      <c r="C5" s="13">
        <v>0.83805260000000004</v>
      </c>
      <c r="D5" s="13">
        <v>0.32002249999999999</v>
      </c>
      <c r="E5" s="13">
        <v>1</v>
      </c>
      <c r="F5" s="13">
        <v>0.7985778</v>
      </c>
      <c r="G5" s="13">
        <v>0.80227090000000001</v>
      </c>
      <c r="H5" s="13">
        <v>0.7519555</v>
      </c>
      <c r="I5" s="3"/>
      <c r="J5" s="3"/>
      <c r="K5" s="3"/>
    </row>
    <row r="6" spans="1:11" s="4" customFormat="1" ht="12" customHeight="1" x14ac:dyDescent="0.3">
      <c r="A6" s="15" t="s">
        <v>4</v>
      </c>
      <c r="B6" s="13">
        <v>0.79631350000000001</v>
      </c>
      <c r="C6" s="13">
        <v>0.60470000000000002</v>
      </c>
      <c r="D6" s="13">
        <v>-8.4385760000000004E-2</v>
      </c>
      <c r="E6" s="13">
        <v>0.7985778</v>
      </c>
      <c r="F6" s="13">
        <v>1</v>
      </c>
      <c r="G6" s="13">
        <v>0.46881600000000001</v>
      </c>
      <c r="H6" s="13">
        <v>0.40971489999999999</v>
      </c>
      <c r="I6" s="3"/>
      <c r="J6" s="3"/>
      <c r="K6" s="3"/>
    </row>
    <row r="7" spans="1:11" s="4" customFormat="1" ht="12.75" customHeight="1" x14ac:dyDescent="0.3">
      <c r="A7" s="15" t="s">
        <v>5</v>
      </c>
      <c r="B7" s="13">
        <v>0.26398719999999998</v>
      </c>
      <c r="C7" s="13">
        <v>0.80446410000000002</v>
      </c>
      <c r="D7" s="13">
        <v>0.72816669999999994</v>
      </c>
      <c r="E7" s="13">
        <v>0.80227090000000001</v>
      </c>
      <c r="F7" s="13">
        <v>0.46881600000000001</v>
      </c>
      <c r="G7" s="13">
        <v>1</v>
      </c>
      <c r="H7" s="13">
        <v>0.95394270000000003</v>
      </c>
      <c r="I7" s="3"/>
      <c r="J7" s="3"/>
      <c r="K7" s="3"/>
    </row>
    <row r="8" spans="1:11" s="4" customFormat="1" ht="12" customHeight="1" x14ac:dyDescent="0.3">
      <c r="A8" s="15" t="s">
        <v>6</v>
      </c>
      <c r="B8" s="13">
        <v>0.21147350000000001</v>
      </c>
      <c r="C8" s="13">
        <v>0.82991649999999995</v>
      </c>
      <c r="D8" s="13">
        <v>0.66213648000000003</v>
      </c>
      <c r="E8" s="13">
        <v>0.7519555</v>
      </c>
      <c r="F8" s="13">
        <v>0.40971487000000001</v>
      </c>
      <c r="G8" s="13">
        <v>0.95394270000000003</v>
      </c>
      <c r="H8" s="13">
        <v>1</v>
      </c>
      <c r="I8" s="3"/>
      <c r="J8" s="3"/>
      <c r="K8" s="3"/>
    </row>
    <row r="9" spans="1:11" x14ac:dyDescent="0.3">
      <c r="A9" s="2"/>
      <c r="B9" s="3"/>
      <c r="C9" s="3"/>
      <c r="D9" s="3"/>
      <c r="E9" s="3"/>
      <c r="F9" s="3"/>
      <c r="G9" s="3"/>
      <c r="H9" s="3"/>
      <c r="I9" s="2"/>
      <c r="J9" s="2"/>
      <c r="K9" s="2"/>
    </row>
    <row r="11" spans="1:11" x14ac:dyDescent="0.3">
      <c r="A11" s="4"/>
    </row>
    <row r="12" spans="1:11" x14ac:dyDescent="0.3">
      <c r="A12" s="1"/>
    </row>
    <row r="13" spans="1:11" x14ac:dyDescent="0.3">
      <c r="A13" s="1"/>
    </row>
    <row r="14" spans="1:11" x14ac:dyDescent="0.3">
      <c r="A14" s="1"/>
    </row>
    <row r="15" spans="1:11" x14ac:dyDescent="0.3">
      <c r="A15" s="1"/>
    </row>
    <row r="16" spans="1:1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sqref="A1:H6"/>
    </sheetView>
  </sheetViews>
  <sheetFormatPr defaultRowHeight="14.4" x14ac:dyDescent="0.3"/>
  <cols>
    <col min="1" max="1" width="11.33203125" customWidth="1"/>
    <col min="2" max="2" width="7.44140625" customWidth="1"/>
    <col min="3" max="8" width="5.33203125" customWidth="1"/>
  </cols>
  <sheetData>
    <row r="1" spans="1:8" x14ac:dyDescent="0.3">
      <c r="A1" s="5"/>
      <c r="B1" s="9"/>
      <c r="C1" s="9"/>
      <c r="D1" s="9"/>
      <c r="E1" s="9"/>
      <c r="F1" s="9"/>
      <c r="G1" s="9"/>
      <c r="H1" s="9"/>
    </row>
    <row r="2" spans="1:8" x14ac:dyDescent="0.3">
      <c r="A2" s="9" t="s">
        <v>7</v>
      </c>
      <c r="B2" s="10">
        <v>4.5566068599999996</v>
      </c>
      <c r="C2" s="10">
        <v>1.7822372019999999</v>
      </c>
      <c r="D2" s="10">
        <v>0.33477126899999998</v>
      </c>
      <c r="E2" s="10">
        <v>0.205862237</v>
      </c>
      <c r="F2" s="11">
        <v>9.1576528000000004E-2</v>
      </c>
      <c r="G2" s="11">
        <v>2.2009290000000001E-2</v>
      </c>
      <c r="H2" s="11">
        <v>6.9366130000000003E-3</v>
      </c>
    </row>
    <row r="3" spans="1:8" x14ac:dyDescent="0.3">
      <c r="A3" s="9" t="s">
        <v>8</v>
      </c>
      <c r="B3" s="10">
        <f>SUM(B2:H2)</f>
        <v>6.999999998999999</v>
      </c>
      <c r="C3" s="8"/>
      <c r="D3" s="2"/>
      <c r="E3" s="2"/>
      <c r="F3" s="2"/>
      <c r="G3" s="2"/>
      <c r="H3" s="2"/>
    </row>
    <row r="4" spans="1:8" x14ac:dyDescent="0.3">
      <c r="A4" s="9" t="s">
        <v>9</v>
      </c>
      <c r="B4" s="10">
        <f>B3/7</f>
        <v>0.99999999985714272</v>
      </c>
      <c r="C4" s="8"/>
      <c r="D4" s="2"/>
      <c r="E4" s="2"/>
      <c r="F4" s="2"/>
      <c r="G4" s="2"/>
      <c r="H4" s="2"/>
    </row>
    <row r="5" spans="1:8" x14ac:dyDescent="0.3">
      <c r="A5" s="9" t="s">
        <v>10</v>
      </c>
      <c r="B5" s="10">
        <f>B2+C2</f>
        <v>6.3388440619999997</v>
      </c>
      <c r="C5" s="2"/>
      <c r="D5" s="2"/>
      <c r="E5" s="2"/>
      <c r="F5" s="2"/>
      <c r="G5" s="2"/>
      <c r="H5" s="2"/>
    </row>
    <row r="6" spans="1:8" x14ac:dyDescent="0.3">
      <c r="A6" s="9" t="s">
        <v>11</v>
      </c>
      <c r="B6" s="12">
        <f>B5/B3</f>
        <v>0.90554915184364992</v>
      </c>
      <c r="C6" s="2"/>
      <c r="D6" s="2"/>
      <c r="E6" s="2"/>
      <c r="F6" s="2"/>
      <c r="G6" s="2"/>
      <c r="H6" s="2"/>
    </row>
    <row r="7" spans="1:8" x14ac:dyDescent="0.3">
      <c r="A7" s="2"/>
      <c r="B7" s="2"/>
      <c r="C7" s="2"/>
      <c r="D7" s="2"/>
      <c r="E7" s="2"/>
      <c r="F7" s="2"/>
      <c r="G7" s="2"/>
      <c r="H7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sqref="A1:H2"/>
    </sheetView>
  </sheetViews>
  <sheetFormatPr defaultRowHeight="14.4" x14ac:dyDescent="0.3"/>
  <cols>
    <col min="1" max="1" width="14.33203125" customWidth="1"/>
    <col min="2" max="2" width="15.21875" bestFit="1" customWidth="1"/>
    <col min="3" max="3" width="12" bestFit="1" customWidth="1"/>
    <col min="4" max="4" width="11.21875" bestFit="1" customWidth="1"/>
    <col min="5" max="5" width="9.6640625" bestFit="1" customWidth="1"/>
    <col min="6" max="6" width="8.88671875" bestFit="1" customWidth="1"/>
    <col min="7" max="7" width="8.109375" bestFit="1" customWidth="1"/>
    <col min="8" max="8" width="5.77734375" bestFit="1" customWidth="1"/>
  </cols>
  <sheetData>
    <row r="1" spans="1:8" x14ac:dyDescent="0.3">
      <c r="A1" s="5"/>
      <c r="B1" s="9"/>
      <c r="C1" s="9"/>
      <c r="D1" s="9"/>
      <c r="E1" s="9"/>
      <c r="F1" s="9"/>
      <c r="G1" s="9"/>
      <c r="H1" s="9"/>
    </row>
    <row r="2" spans="1:8" ht="21.6" customHeight="1" x14ac:dyDescent="0.3">
      <c r="A2" s="23" t="s">
        <v>49</v>
      </c>
      <c r="B2" s="24">
        <v>118806100000000</v>
      </c>
      <c r="C2" s="24">
        <v>28354880000</v>
      </c>
      <c r="D2" s="24">
        <v>2058012000</v>
      </c>
      <c r="E2" s="24">
        <v>15098660</v>
      </c>
      <c r="F2" s="25">
        <v>2451071</v>
      </c>
      <c r="G2" s="25">
        <v>272662.90000000002</v>
      </c>
      <c r="H2" s="25">
        <v>340.21859999999998</v>
      </c>
    </row>
    <row r="3" spans="1:8" x14ac:dyDescent="0.3">
      <c r="A3" s="9" t="s">
        <v>8</v>
      </c>
      <c r="B3" s="10">
        <f>SUM(B2:H2)</f>
        <v>118836530714734.13</v>
      </c>
      <c r="C3" s="8"/>
      <c r="D3" s="2"/>
      <c r="E3" s="2"/>
      <c r="F3" s="2"/>
      <c r="G3" s="2"/>
      <c r="H3" s="2"/>
    </row>
    <row r="4" spans="1:8" x14ac:dyDescent="0.3">
      <c r="A4" s="9" t="s">
        <v>9</v>
      </c>
      <c r="B4" s="10">
        <f>B3/7</f>
        <v>16976647244962.018</v>
      </c>
      <c r="C4" s="8"/>
      <c r="D4" s="2"/>
      <c r="E4" s="2"/>
      <c r="F4" s="2"/>
      <c r="G4" s="2"/>
      <c r="H4" s="2"/>
    </row>
    <row r="5" spans="1:8" x14ac:dyDescent="0.3">
      <c r="A5" s="9" t="s">
        <v>10</v>
      </c>
      <c r="B5" s="10">
        <f>B2+C2</f>
        <v>118834454880000</v>
      </c>
      <c r="C5" s="2"/>
      <c r="D5" s="2"/>
      <c r="E5" s="2"/>
      <c r="F5" s="2"/>
      <c r="G5" s="2"/>
      <c r="H5" s="2"/>
    </row>
    <row r="6" spans="1:8" x14ac:dyDescent="0.3">
      <c r="A6" s="9" t="s">
        <v>11</v>
      </c>
      <c r="B6" s="12">
        <f>B5/B3</f>
        <v>0.99998253201501563</v>
      </c>
      <c r="C6" s="2"/>
      <c r="D6" s="2"/>
      <c r="E6" s="2"/>
      <c r="F6" s="2"/>
      <c r="G6" s="2"/>
      <c r="H6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A7" sqref="A7:A14"/>
    </sheetView>
  </sheetViews>
  <sheetFormatPr defaultRowHeight="14.4" x14ac:dyDescent="0.3"/>
  <cols>
    <col min="1" max="1" width="14.109375" bestFit="1" customWidth="1"/>
    <col min="2" max="2" width="9.6640625" bestFit="1" customWidth="1"/>
    <col min="3" max="3" width="8.109375" bestFit="1" customWidth="1"/>
    <col min="4" max="4" width="7.33203125" bestFit="1" customWidth="1"/>
    <col min="5" max="6" width="6.5546875" bestFit="1" customWidth="1"/>
    <col min="7" max="7" width="5.77734375" bestFit="1" customWidth="1"/>
    <col min="8" max="8" width="5.33203125" bestFit="1" customWidth="1"/>
  </cols>
  <sheetData>
    <row r="1" spans="1:8" x14ac:dyDescent="0.3">
      <c r="A1" s="17"/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21</v>
      </c>
    </row>
    <row r="2" spans="1:8" x14ac:dyDescent="0.3">
      <c r="A2" s="18" t="s">
        <v>18</v>
      </c>
      <c r="B2" s="13">
        <v>10574380</v>
      </c>
      <c r="C2" s="13">
        <v>163361.4</v>
      </c>
      <c r="D2" s="13">
        <v>44010.83</v>
      </c>
      <c r="E2" s="13">
        <v>3769.6819999999998</v>
      </c>
      <c r="F2" s="13">
        <v>1518.845</v>
      </c>
      <c r="G2" s="13">
        <v>506.5806</v>
      </c>
      <c r="H2" s="13">
        <v>17.894300000000001</v>
      </c>
    </row>
    <row r="3" spans="1:8" x14ac:dyDescent="0.3">
      <c r="A3" s="18" t="s">
        <v>19</v>
      </c>
      <c r="B3" s="13">
        <v>0.99974390000000002</v>
      </c>
      <c r="C3" s="13">
        <v>2.3860409999999999E-4</v>
      </c>
      <c r="D3" s="13">
        <v>1.731801E-5</v>
      </c>
      <c r="E3" s="13">
        <v>1.2705399999999999E-7</v>
      </c>
      <c r="F3" s="13">
        <v>2.0625570000000001E-8</v>
      </c>
      <c r="G3" s="13">
        <v>2.2944370000000001E-9</v>
      </c>
      <c r="H3" s="13">
        <v>2.8629139999999999E-12</v>
      </c>
    </row>
    <row r="4" spans="1:8" x14ac:dyDescent="0.3">
      <c r="A4" s="18" t="s">
        <v>20</v>
      </c>
      <c r="B4" s="13">
        <v>0.99974390000000002</v>
      </c>
      <c r="C4" s="13">
        <v>0.9999825</v>
      </c>
      <c r="D4" s="13">
        <v>0.99999990000000005</v>
      </c>
      <c r="E4" s="13">
        <v>1</v>
      </c>
      <c r="F4" s="13">
        <v>1</v>
      </c>
      <c r="G4" s="13">
        <v>1</v>
      </c>
      <c r="H4" s="13">
        <v>1</v>
      </c>
    </row>
    <row r="7" spans="1:8" x14ac:dyDescent="0.3">
      <c r="A7" t="s">
        <v>50</v>
      </c>
    </row>
    <row r="8" spans="1:8" x14ac:dyDescent="0.3">
      <c r="A8" t="s">
        <v>51</v>
      </c>
    </row>
    <row r="9" spans="1:8" x14ac:dyDescent="0.3">
      <c r="A9" t="s">
        <v>52</v>
      </c>
    </row>
    <row r="10" spans="1:8" x14ac:dyDescent="0.3">
      <c r="A10" t="s">
        <v>53</v>
      </c>
    </row>
    <row r="11" spans="1:8" x14ac:dyDescent="0.3">
      <c r="A11" t="s">
        <v>54</v>
      </c>
    </row>
    <row r="12" spans="1:8" x14ac:dyDescent="0.3">
      <c r="A12" t="s">
        <v>55</v>
      </c>
    </row>
    <row r="13" spans="1:8" x14ac:dyDescent="0.3">
      <c r="A13" t="s">
        <v>56</v>
      </c>
    </row>
    <row r="14" spans="1:8" x14ac:dyDescent="0.3">
      <c r="A14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>
      <selection sqref="A1:H4"/>
    </sheetView>
  </sheetViews>
  <sheetFormatPr defaultRowHeight="14.4" x14ac:dyDescent="0.3"/>
  <cols>
    <col min="1" max="1" width="11.33203125" customWidth="1"/>
    <col min="2" max="8" width="6.109375" customWidth="1"/>
  </cols>
  <sheetData>
    <row r="1" spans="1:8" ht="16.5" customHeight="1" x14ac:dyDescent="0.3">
      <c r="A1" s="17"/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21</v>
      </c>
    </row>
    <row r="2" spans="1:8" ht="21.75" customHeight="1" x14ac:dyDescent="0.3">
      <c r="A2" s="18" t="s">
        <v>18</v>
      </c>
      <c r="B2" s="13">
        <v>2.0708866000000001</v>
      </c>
      <c r="C2" s="13">
        <v>1.2951447</v>
      </c>
      <c r="D2" s="13">
        <v>0.56131883999999999</v>
      </c>
      <c r="E2" s="13">
        <v>0.44017348000000001</v>
      </c>
      <c r="F2" s="13">
        <v>0.29358077999999999</v>
      </c>
      <c r="G2" s="13">
        <v>0.14392576500000001</v>
      </c>
      <c r="H2" s="13">
        <v>8.0799611199999996E-2</v>
      </c>
    </row>
    <row r="3" spans="1:8" ht="23.25" customHeight="1" x14ac:dyDescent="0.3">
      <c r="A3" s="18" t="s">
        <v>19</v>
      </c>
      <c r="B3" s="13">
        <v>0.65094379999999996</v>
      </c>
      <c r="C3" s="13">
        <v>0.25460529999999998</v>
      </c>
      <c r="D3" s="13">
        <v>4.7824470000000001E-2</v>
      </c>
      <c r="E3" s="13">
        <v>2.940889E-2</v>
      </c>
      <c r="F3" s="13">
        <v>1.3082359999999999E-2</v>
      </c>
      <c r="G3" s="13">
        <v>3.144184E-3</v>
      </c>
      <c r="H3" s="13">
        <v>9.9094469999999992E-4</v>
      </c>
    </row>
    <row r="4" spans="1:8" ht="21" customHeight="1" x14ac:dyDescent="0.3">
      <c r="A4" s="18" t="s">
        <v>20</v>
      </c>
      <c r="B4" s="13">
        <v>0.65094379999999996</v>
      </c>
      <c r="C4" s="13">
        <v>0.90554920000000005</v>
      </c>
      <c r="D4" s="13">
        <v>0.95337362000000003</v>
      </c>
      <c r="E4" s="13">
        <v>0.98278251000000005</v>
      </c>
      <c r="F4" s="13">
        <v>0.99586487000000001</v>
      </c>
      <c r="G4" s="13">
        <v>0.99900905500000003</v>
      </c>
      <c r="H4" s="13">
        <v>1</v>
      </c>
    </row>
    <row r="7" spans="1:8" x14ac:dyDescent="0.3">
      <c r="A7" s="9"/>
      <c r="B7" s="14" t="s">
        <v>12</v>
      </c>
      <c r="C7" s="14" t="s">
        <v>13</v>
      </c>
      <c r="D7" s="14" t="s">
        <v>14</v>
      </c>
      <c r="E7" s="14" t="s">
        <v>15</v>
      </c>
      <c r="F7" s="14" t="s">
        <v>16</v>
      </c>
      <c r="G7" s="14" t="s">
        <v>17</v>
      </c>
      <c r="H7" s="14" t="s">
        <v>21</v>
      </c>
    </row>
    <row r="8" spans="1:8" x14ac:dyDescent="0.3">
      <c r="A8" s="9" t="s">
        <v>37</v>
      </c>
      <c r="B8" s="13">
        <v>0.117395</v>
      </c>
      <c r="C8" s="13">
        <v>0.843723</v>
      </c>
      <c r="D8" s="13">
        <v>-0.23700062399999999</v>
      </c>
      <c r="E8" s="13">
        <v>0.26978541</v>
      </c>
      <c r="F8" s="13">
        <v>0.11125926</v>
      </c>
      <c r="G8" s="13">
        <v>9.7641537E-2</v>
      </c>
      <c r="H8" s="13">
        <v>1.7473321999999999E-2</v>
      </c>
    </row>
    <row r="9" spans="1:8" x14ac:dyDescent="0.3">
      <c r="A9" s="9" t="s">
        <v>22</v>
      </c>
      <c r="B9" s="13">
        <v>1.8325001999999999</v>
      </c>
      <c r="C9" s="13">
        <v>0.2573048</v>
      </c>
      <c r="D9" s="13">
        <v>-0.24605147499999999</v>
      </c>
      <c r="E9" s="13">
        <v>4.4883880000000001E-2</v>
      </c>
      <c r="F9" s="13">
        <v>-0.33939939000000002</v>
      </c>
      <c r="G9" s="13">
        <v>3.7489115000000003E-2</v>
      </c>
      <c r="H9" s="13">
        <v>-9.1806479999999996E-3</v>
      </c>
    </row>
    <row r="10" spans="1:8" x14ac:dyDescent="0.3">
      <c r="A10" s="9" t="s">
        <v>23</v>
      </c>
      <c r="B10" s="13">
        <v>1.9702276000000001</v>
      </c>
      <c r="C10" s="13">
        <v>-0.48283280000000001</v>
      </c>
      <c r="D10" s="13">
        <v>3.2335493E-2</v>
      </c>
      <c r="E10" s="13">
        <v>-0.31365904</v>
      </c>
      <c r="F10" s="13">
        <v>8.2591780000000004E-2</v>
      </c>
      <c r="G10" s="13">
        <v>-6.3090873000000006E-2</v>
      </c>
      <c r="H10" s="13">
        <v>3.5298877999999999E-2</v>
      </c>
    </row>
    <row r="11" spans="1:8" x14ac:dyDescent="0.3">
      <c r="A11" s="9" t="s">
        <v>24</v>
      </c>
      <c r="B11" s="13">
        <v>-2.4991618999999998</v>
      </c>
      <c r="C11" s="13">
        <v>-3.3211697999999998</v>
      </c>
      <c r="D11" s="13">
        <v>0.93940152499999996</v>
      </c>
      <c r="E11" s="13">
        <v>0.91302185000000002</v>
      </c>
      <c r="F11" s="13">
        <v>7.626877E-2</v>
      </c>
      <c r="G11" s="13">
        <v>-7.0584319000000006E-2</v>
      </c>
      <c r="H11" s="13">
        <v>2.0955139000000001E-2</v>
      </c>
    </row>
    <row r="12" spans="1:8" x14ac:dyDescent="0.3">
      <c r="A12" s="9" t="s">
        <v>25</v>
      </c>
      <c r="B12" s="13">
        <v>1.6736807</v>
      </c>
      <c r="C12" s="13">
        <v>-0.18238770000000001</v>
      </c>
      <c r="D12" s="13">
        <v>0.25885782400000001</v>
      </c>
      <c r="E12" s="13">
        <v>-0.18853239999999999</v>
      </c>
      <c r="F12" s="13">
        <v>5.5041260000000002E-2</v>
      </c>
      <c r="G12" s="13">
        <v>2.9348562000000002E-2</v>
      </c>
      <c r="H12" s="13">
        <v>-1.026643E-2</v>
      </c>
    </row>
    <row r="13" spans="1:8" x14ac:dyDescent="0.3">
      <c r="A13" s="9" t="s">
        <v>26</v>
      </c>
      <c r="B13" s="13">
        <v>-3.8191592000000001</v>
      </c>
      <c r="C13" s="13">
        <v>-1.5351967</v>
      </c>
      <c r="D13" s="13">
        <v>-0.164381268</v>
      </c>
      <c r="E13" s="13">
        <v>-0.98588878999999996</v>
      </c>
      <c r="F13" s="13">
        <v>-0.50870373999999996</v>
      </c>
      <c r="G13" s="13">
        <v>0.15996803800000001</v>
      </c>
      <c r="H13" s="13">
        <v>1.555121E-3</v>
      </c>
    </row>
    <row r="14" spans="1:8" x14ac:dyDescent="0.3">
      <c r="A14" s="9" t="s">
        <v>27</v>
      </c>
      <c r="B14" s="13">
        <v>0.72261580000000003</v>
      </c>
      <c r="C14" s="13">
        <v>0.50694419999999996</v>
      </c>
      <c r="D14" s="13">
        <v>0.42826822399999998</v>
      </c>
      <c r="E14" s="13">
        <v>8.0374409999999993E-2</v>
      </c>
      <c r="F14" s="13">
        <v>6.1835950000000001E-2</v>
      </c>
      <c r="G14" s="13">
        <v>-5.6029820000000001E-2</v>
      </c>
      <c r="H14" s="13">
        <v>-0.211130765</v>
      </c>
    </row>
    <row r="15" spans="1:8" x14ac:dyDescent="0.3">
      <c r="A15" s="9" t="s">
        <v>28</v>
      </c>
      <c r="B15" s="13">
        <v>0.25639420000000002</v>
      </c>
      <c r="C15" s="13">
        <v>0.63813319999999996</v>
      </c>
      <c r="D15" s="13">
        <v>-0.54420742499999997</v>
      </c>
      <c r="E15" s="13">
        <v>0.67800399</v>
      </c>
      <c r="F15" s="13">
        <v>-0.41954054000000002</v>
      </c>
      <c r="G15" s="13">
        <v>0.240966562</v>
      </c>
      <c r="H15" s="13">
        <v>4.7097647999999999E-2</v>
      </c>
    </row>
    <row r="16" spans="1:8" x14ac:dyDescent="0.3">
      <c r="A16" s="9" t="s">
        <v>29</v>
      </c>
      <c r="B16" s="13">
        <v>-4.6938627999999998</v>
      </c>
      <c r="C16" s="13">
        <v>3.1054583999999998</v>
      </c>
      <c r="D16" s="13">
        <v>0.21484400400000001</v>
      </c>
      <c r="E16" s="13">
        <v>0.28518032999999998</v>
      </c>
      <c r="F16" s="13">
        <v>-0.20652941999999999</v>
      </c>
      <c r="G16" s="13">
        <v>-0.213658348</v>
      </c>
      <c r="H16" s="13">
        <v>3.265146E-2</v>
      </c>
    </row>
    <row r="17" spans="1:8" x14ac:dyDescent="0.3">
      <c r="A17" s="9" t="s">
        <v>30</v>
      </c>
      <c r="B17" s="13">
        <v>1.2372391</v>
      </c>
      <c r="C17" s="13">
        <v>-0.63228980000000001</v>
      </c>
      <c r="D17" s="13">
        <v>0.470745152</v>
      </c>
      <c r="E17" s="13">
        <v>-0.26232652000000001</v>
      </c>
      <c r="F17" s="13">
        <v>-0.1913387</v>
      </c>
      <c r="G17" s="13">
        <v>-6.1096620000000001E-3</v>
      </c>
      <c r="H17" s="13">
        <v>1.9254127999999999E-2</v>
      </c>
    </row>
    <row r="18" spans="1:8" x14ac:dyDescent="0.3">
      <c r="A18" s="9" t="s">
        <v>31</v>
      </c>
      <c r="B18" s="13">
        <v>-0.62107990000000002</v>
      </c>
      <c r="C18" s="13">
        <v>1.5224587999999999</v>
      </c>
      <c r="D18" s="13">
        <v>1.166938019</v>
      </c>
      <c r="E18" s="13">
        <v>-0.53588142999999999</v>
      </c>
      <c r="F18" s="13">
        <v>0.53562103999999999</v>
      </c>
      <c r="G18" s="13">
        <v>0.19798432899999999</v>
      </c>
      <c r="H18" s="13">
        <v>5.4896609999999998E-2</v>
      </c>
    </row>
    <row r="19" spans="1:8" x14ac:dyDescent="0.3">
      <c r="A19" s="9" t="s">
        <v>32</v>
      </c>
      <c r="B19" s="13">
        <v>1.9308801</v>
      </c>
      <c r="C19" s="13">
        <v>-0.20278009999999999</v>
      </c>
      <c r="D19" s="13">
        <v>2.0209410000000001E-3</v>
      </c>
      <c r="E19" s="13">
        <v>-0.14089462999999999</v>
      </c>
      <c r="F19" s="13">
        <v>-5.5730219999999997E-2</v>
      </c>
      <c r="G19" s="13">
        <v>-4.3136127000000003E-2</v>
      </c>
      <c r="H19" s="13">
        <v>-9.9035519999999995E-3</v>
      </c>
    </row>
    <row r="20" spans="1:8" x14ac:dyDescent="0.3">
      <c r="A20" s="9" t="s">
        <v>33</v>
      </c>
      <c r="B20" s="13">
        <v>1.3978925</v>
      </c>
      <c r="C20" s="13">
        <v>0.38088660000000002</v>
      </c>
      <c r="D20" s="13">
        <v>6.3887890000000003E-2</v>
      </c>
      <c r="E20" s="13">
        <v>-1.7737860000000001E-2</v>
      </c>
      <c r="F20" s="13">
        <v>-0.23350874999999999</v>
      </c>
      <c r="G20" s="13">
        <v>-0.15653566799999999</v>
      </c>
      <c r="H20" s="13">
        <v>-0.123303147</v>
      </c>
    </row>
    <row r="21" spans="1:8" x14ac:dyDescent="0.3">
      <c r="A21" s="9" t="s">
        <v>34</v>
      </c>
      <c r="B21" s="13">
        <v>1.1719265000000001</v>
      </c>
      <c r="C21" s="13">
        <v>-0.13659350000000001</v>
      </c>
      <c r="D21" s="13">
        <v>-0.398641686</v>
      </c>
      <c r="E21" s="13">
        <v>2.6119819999999998E-2</v>
      </c>
      <c r="F21" s="13">
        <v>0.19299472000000001</v>
      </c>
      <c r="G21" s="13">
        <v>-0.15136275099999999</v>
      </c>
      <c r="H21" s="13">
        <v>0.17158469100000001</v>
      </c>
    </row>
    <row r="22" spans="1:8" x14ac:dyDescent="0.3">
      <c r="A22" s="9" t="s">
        <v>35</v>
      </c>
      <c r="B22" s="13">
        <v>0.49138480000000001</v>
      </c>
      <c r="C22" s="13">
        <v>0.2580134</v>
      </c>
      <c r="D22" s="13">
        <v>-0.39432308500000002</v>
      </c>
      <c r="E22" s="13">
        <v>0.52725973000000004</v>
      </c>
      <c r="F22" s="13">
        <v>0.27710302999999997</v>
      </c>
      <c r="G22" s="13">
        <v>0.26098201199999999</v>
      </c>
      <c r="H22" s="13">
        <v>-3.5313804999999997E-2</v>
      </c>
    </row>
    <row r="23" spans="1:8" x14ac:dyDescent="0.3">
      <c r="A23" s="9" t="s">
        <v>38</v>
      </c>
      <c r="B23" s="13">
        <v>-2.7641054999999999</v>
      </c>
      <c r="C23" s="13">
        <v>-0.87541259999999999</v>
      </c>
      <c r="D23" s="13">
        <v>-1.3284058089999999</v>
      </c>
      <c r="E23" s="13">
        <v>-0.24026892999999999</v>
      </c>
      <c r="F23" s="13">
        <v>0.58729094000000004</v>
      </c>
      <c r="G23" s="13">
        <v>-7.0676274999999997E-2</v>
      </c>
      <c r="H23" s="13">
        <v>-7.6883285999999995E-2</v>
      </c>
    </row>
    <row r="24" spans="1:8" x14ac:dyDescent="0.3">
      <c r="A24" s="9" t="s">
        <v>36</v>
      </c>
      <c r="B24" s="13">
        <v>1.5952329000000001</v>
      </c>
      <c r="C24" s="13">
        <v>-0.14425940000000001</v>
      </c>
      <c r="D24" s="13">
        <v>-0.26428770000000001</v>
      </c>
      <c r="E24" s="13">
        <v>-0.13943981999999999</v>
      </c>
      <c r="F24" s="13">
        <v>-2.5256000000000001E-2</v>
      </c>
      <c r="G24" s="13">
        <v>-0.19319631200000001</v>
      </c>
      <c r="H24" s="13">
        <v>7.5214636000000001E-2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sqref="A1:H8"/>
    </sheetView>
  </sheetViews>
  <sheetFormatPr defaultRowHeight="14.4" x14ac:dyDescent="0.3"/>
  <cols>
    <col min="1" max="1" width="22.88671875" customWidth="1"/>
    <col min="2" max="8" width="5.88671875" customWidth="1"/>
  </cols>
  <sheetData>
    <row r="1" spans="1:8" ht="33" customHeight="1" x14ac:dyDescent="0.3">
      <c r="A1" s="7"/>
      <c r="B1" s="14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14" t="s">
        <v>21</v>
      </c>
    </row>
    <row r="2" spans="1:8" x14ac:dyDescent="0.3">
      <c r="A2" s="15" t="s">
        <v>0</v>
      </c>
      <c r="B2" s="13">
        <v>-0.29099999999999998</v>
      </c>
      <c r="C2" s="13">
        <v>0.53200000000000003</v>
      </c>
      <c r="D2" s="13">
        <v>0.55700000000000005</v>
      </c>
      <c r="E2" s="13">
        <v>5.2999999999999999E-2</v>
      </c>
      <c r="F2" s="13">
        <v>0.106</v>
      </c>
      <c r="G2" s="13">
        <v>-0.31</v>
      </c>
      <c r="H2" s="13">
        <v>-0.46</v>
      </c>
    </row>
    <row r="3" spans="1:8" x14ac:dyDescent="0.3">
      <c r="A3" s="15" t="s">
        <v>1</v>
      </c>
      <c r="B3" s="13">
        <v>-0.441</v>
      </c>
      <c r="C3" s="13">
        <v>1.0999999999999999E-2</v>
      </c>
      <c r="D3" s="13">
        <v>0.40200000000000002</v>
      </c>
      <c r="E3" s="13">
        <v>-0.48399999999999999</v>
      </c>
      <c r="F3" s="13">
        <v>-0.28999999999999998</v>
      </c>
      <c r="G3" s="13">
        <v>0.16700000000000001</v>
      </c>
      <c r="H3" s="13">
        <v>0.54500000000000004</v>
      </c>
    </row>
    <row r="4" spans="1:8" x14ac:dyDescent="0.3">
      <c r="A4" s="15" t="s">
        <v>2</v>
      </c>
      <c r="B4" s="13">
        <v>-0.24399999999999999</v>
      </c>
      <c r="C4" s="13">
        <v>-0.57699999999999996</v>
      </c>
      <c r="D4" s="13">
        <v>0.42799999999999999</v>
      </c>
      <c r="E4" s="13">
        <v>0.59099999999999997</v>
      </c>
      <c r="F4" s="13">
        <v>-0.111</v>
      </c>
      <c r="G4" s="13">
        <v>0.22700000000000001</v>
      </c>
      <c r="H4" s="13">
        <v>-0.105</v>
      </c>
    </row>
    <row r="5" spans="1:8" x14ac:dyDescent="0.3">
      <c r="A5" s="15" t="s">
        <v>3</v>
      </c>
      <c r="B5" s="13">
        <v>-0.442</v>
      </c>
      <c r="C5" s="13">
        <v>0.15</v>
      </c>
      <c r="D5" s="13">
        <v>-0.183</v>
      </c>
      <c r="E5" s="13">
        <v>0.11600000000000001</v>
      </c>
      <c r="F5" s="13">
        <v>0.749</v>
      </c>
      <c r="G5" s="13">
        <v>0.38700000000000001</v>
      </c>
      <c r="H5" s="13">
        <v>0.157</v>
      </c>
    </row>
    <row r="6" spans="1:8" x14ac:dyDescent="0.3">
      <c r="A6" s="15" t="s">
        <v>4</v>
      </c>
      <c r="B6" s="13">
        <v>-0.33700000000000002</v>
      </c>
      <c r="C6" s="13">
        <v>0.44900000000000001</v>
      </c>
      <c r="D6" s="13">
        <v>-0.40300000000000002</v>
      </c>
      <c r="E6" s="13">
        <v>0.438</v>
      </c>
      <c r="F6" s="13">
        <v>-0.54900000000000004</v>
      </c>
      <c r="G6" s="13">
        <v>0.156</v>
      </c>
      <c r="H6" s="13">
        <v>6.4000000000000001E-2</v>
      </c>
    </row>
    <row r="7" spans="1:8" x14ac:dyDescent="0.3">
      <c r="A7" s="15" t="s">
        <v>5</v>
      </c>
      <c r="B7" s="13">
        <v>-0.42599999999999999</v>
      </c>
      <c r="C7" s="13">
        <v>-0.27600000000000002</v>
      </c>
      <c r="D7" s="13">
        <v>-0.247</v>
      </c>
      <c r="E7" s="13">
        <v>9.0999999999999998E-2</v>
      </c>
      <c r="F7" s="13">
        <v>9.0999999999999998E-2</v>
      </c>
      <c r="G7" s="13">
        <v>-0.78700000000000003</v>
      </c>
      <c r="H7" s="13">
        <v>0.21299999999999999</v>
      </c>
    </row>
    <row r="8" spans="1:8" x14ac:dyDescent="0.3">
      <c r="A8" s="15" t="s">
        <v>6</v>
      </c>
      <c r="B8" s="13">
        <v>-0.41199999999999998</v>
      </c>
      <c r="C8" s="13">
        <v>-0.28899999999999998</v>
      </c>
      <c r="D8" s="13">
        <v>-0.29599999999999999</v>
      </c>
      <c r="E8" s="13">
        <v>-0.44700000000000001</v>
      </c>
      <c r="F8" s="13">
        <v>-0.14599999999999999</v>
      </c>
      <c r="G8" s="13">
        <v>0.17699999999999999</v>
      </c>
      <c r="H8" s="13">
        <v>-0.63700000000000001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sqref="A1:H8"/>
    </sheetView>
  </sheetViews>
  <sheetFormatPr defaultRowHeight="14.4" x14ac:dyDescent="0.3"/>
  <cols>
    <col min="1" max="1" width="13" customWidth="1"/>
    <col min="2" max="8" width="5.33203125" bestFit="1" customWidth="1"/>
  </cols>
  <sheetData>
    <row r="1" spans="1:8" ht="20.399999999999999" x14ac:dyDescent="0.3">
      <c r="A1" s="7"/>
      <c r="B1" s="23" t="s">
        <v>12</v>
      </c>
      <c r="C1" s="14" t="s">
        <v>13</v>
      </c>
      <c r="D1" s="14" t="s">
        <v>14</v>
      </c>
      <c r="E1" s="14" t="s">
        <v>15</v>
      </c>
      <c r="F1" s="14" t="s">
        <v>16</v>
      </c>
      <c r="G1" s="14" t="s">
        <v>17</v>
      </c>
      <c r="H1" s="7" t="s">
        <v>21</v>
      </c>
    </row>
    <row r="2" spans="1:8" x14ac:dyDescent="0.3">
      <c r="A2" s="15" t="s">
        <v>58</v>
      </c>
      <c r="B2" s="13" t="s">
        <v>59</v>
      </c>
      <c r="C2" s="13" t="s">
        <v>59</v>
      </c>
      <c r="D2" s="13" t="s">
        <v>60</v>
      </c>
      <c r="E2" s="13" t="s">
        <v>61</v>
      </c>
      <c r="F2" s="13" t="s">
        <v>62</v>
      </c>
      <c r="G2" s="13" t="s">
        <v>63</v>
      </c>
      <c r="H2" s="13" t="s">
        <v>64</v>
      </c>
    </row>
    <row r="3" spans="1:8" ht="20.399999999999999" x14ac:dyDescent="0.3">
      <c r="A3" s="15" t="s">
        <v>1</v>
      </c>
      <c r="B3" s="13" t="s">
        <v>59</v>
      </c>
      <c r="C3" s="13" t="s">
        <v>59</v>
      </c>
      <c r="D3" s="13" t="s">
        <v>65</v>
      </c>
      <c r="E3" s="13" t="s">
        <v>66</v>
      </c>
      <c r="F3" s="13" t="s">
        <v>67</v>
      </c>
      <c r="G3" s="13" t="s">
        <v>68</v>
      </c>
      <c r="H3" s="13" t="s">
        <v>69</v>
      </c>
    </row>
    <row r="4" spans="1:8" ht="30.6" x14ac:dyDescent="0.3">
      <c r="A4" s="15" t="s">
        <v>2</v>
      </c>
      <c r="B4" s="13" t="s">
        <v>59</v>
      </c>
      <c r="C4" s="13" t="s">
        <v>70</v>
      </c>
      <c r="D4" s="13" t="s">
        <v>71</v>
      </c>
      <c r="E4" s="13" t="s">
        <v>72</v>
      </c>
      <c r="F4" s="13" t="s">
        <v>73</v>
      </c>
      <c r="G4" s="13" t="s">
        <v>74</v>
      </c>
      <c r="H4" s="13" t="s">
        <v>75</v>
      </c>
    </row>
    <row r="5" spans="1:8" x14ac:dyDescent="0.3">
      <c r="A5" s="15" t="s">
        <v>3</v>
      </c>
      <c r="B5" s="13" t="s">
        <v>76</v>
      </c>
      <c r="C5" s="13" t="s">
        <v>77</v>
      </c>
      <c r="D5" s="13" t="s">
        <v>78</v>
      </c>
      <c r="E5" s="13" t="s">
        <v>79</v>
      </c>
      <c r="F5" s="13" t="s">
        <v>80</v>
      </c>
      <c r="G5" s="13" t="s">
        <v>81</v>
      </c>
      <c r="H5" s="13" t="s">
        <v>82</v>
      </c>
    </row>
    <row r="6" spans="1:8" ht="20.399999999999999" x14ac:dyDescent="0.3">
      <c r="A6" s="15" t="s">
        <v>4</v>
      </c>
      <c r="B6" s="13" t="s">
        <v>60</v>
      </c>
      <c r="C6" s="13" t="s">
        <v>83</v>
      </c>
      <c r="D6" s="13" t="s">
        <v>84</v>
      </c>
      <c r="E6" s="13" t="s">
        <v>85</v>
      </c>
      <c r="F6" s="13" t="s">
        <v>86</v>
      </c>
      <c r="G6" s="13" t="s">
        <v>70</v>
      </c>
      <c r="H6" s="13" t="s">
        <v>59</v>
      </c>
    </row>
    <row r="7" spans="1:8" ht="20.399999999999999" x14ac:dyDescent="0.3">
      <c r="A7" s="15" t="s">
        <v>87</v>
      </c>
      <c r="B7" s="13" t="s">
        <v>88</v>
      </c>
      <c r="C7" s="13" t="s">
        <v>89</v>
      </c>
      <c r="D7" s="13" t="s">
        <v>90</v>
      </c>
      <c r="E7" s="13" t="s">
        <v>65</v>
      </c>
      <c r="F7" s="13" t="s">
        <v>61</v>
      </c>
      <c r="G7" s="13" t="s">
        <v>91</v>
      </c>
      <c r="H7" s="13" t="s">
        <v>59</v>
      </c>
    </row>
    <row r="8" spans="1:8" ht="20.399999999999999" x14ac:dyDescent="0.3">
      <c r="A8" s="15" t="s">
        <v>92</v>
      </c>
      <c r="B8" s="13" t="s">
        <v>93</v>
      </c>
      <c r="C8" s="13" t="s">
        <v>88</v>
      </c>
      <c r="D8" s="13" t="s">
        <v>60</v>
      </c>
      <c r="E8" s="13" t="s">
        <v>59</v>
      </c>
      <c r="F8" s="13" t="s">
        <v>59</v>
      </c>
      <c r="G8" s="13" t="s">
        <v>59</v>
      </c>
      <c r="H8" s="13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H1" sqref="H1:I1"/>
    </sheetView>
  </sheetViews>
  <sheetFormatPr defaultRowHeight="14.4" x14ac:dyDescent="0.3"/>
  <cols>
    <col min="1" max="1" width="9.109375" customWidth="1"/>
    <col min="2" max="4" width="7.44140625" customWidth="1"/>
    <col min="8" max="8" width="30.88671875" customWidth="1"/>
    <col min="9" max="9" width="10.109375" bestFit="1" customWidth="1"/>
  </cols>
  <sheetData>
    <row r="1" spans="1:9" ht="18" customHeight="1" x14ac:dyDescent="0.3">
      <c r="A1" s="15"/>
      <c r="B1" s="6" t="s">
        <v>46</v>
      </c>
      <c r="C1" s="6" t="s">
        <v>47</v>
      </c>
      <c r="D1" s="6" t="s">
        <v>41</v>
      </c>
      <c r="E1" s="6" t="s">
        <v>42</v>
      </c>
      <c r="F1" s="20"/>
      <c r="H1" s="6" t="s">
        <v>48</v>
      </c>
      <c r="I1" s="22">
        <v>30.87388</v>
      </c>
    </row>
    <row r="2" spans="1:9" x14ac:dyDescent="0.3">
      <c r="A2" s="15" t="s">
        <v>39</v>
      </c>
      <c r="B2" s="13">
        <v>-0.36859999999999998</v>
      </c>
      <c r="C2" s="13">
        <v>6.2700000000000006E-2</v>
      </c>
      <c r="D2" s="13">
        <v>-5.8789999999999996</v>
      </c>
      <c r="E2" s="16">
        <v>3.0300000000000001E-5</v>
      </c>
      <c r="F2" s="21" t="s">
        <v>43</v>
      </c>
    </row>
    <row r="3" spans="1:9" x14ac:dyDescent="0.3">
      <c r="A3" s="15" t="s">
        <v>40</v>
      </c>
      <c r="B3" s="13">
        <v>-0.25069999999999998</v>
      </c>
      <c r="C3" s="13">
        <v>0.1003</v>
      </c>
      <c r="D3" s="13">
        <v>-2.5009999999999999</v>
      </c>
      <c r="E3" s="13" t="s">
        <v>44</v>
      </c>
      <c r="F3" s="21" t="s">
        <v>45</v>
      </c>
    </row>
    <row r="4" spans="1:9" x14ac:dyDescent="0.3">
      <c r="F4" s="20"/>
    </row>
    <row r="5" spans="1:9" x14ac:dyDescent="0.3">
      <c r="F5" s="2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J5" sqref="J5"/>
    </sheetView>
  </sheetViews>
  <sheetFormatPr defaultRowHeight="14.4" x14ac:dyDescent="0.3"/>
  <cols>
    <col min="1" max="1" width="22.6640625" customWidth="1"/>
    <col min="7" max="7" width="23.109375" customWidth="1"/>
  </cols>
  <sheetData>
    <row r="1" spans="1:8" x14ac:dyDescent="0.3">
      <c r="A1" s="15"/>
      <c r="B1" s="6" t="s">
        <v>46</v>
      </c>
      <c r="C1" s="6" t="s">
        <v>47</v>
      </c>
      <c r="D1" s="6" t="s">
        <v>41</v>
      </c>
      <c r="E1" s="6" t="s">
        <v>42</v>
      </c>
    </row>
    <row r="2" spans="1:8" ht="14.25" customHeight="1" x14ac:dyDescent="0.3">
      <c r="A2" s="15" t="s">
        <v>0</v>
      </c>
      <c r="B2" s="22"/>
      <c r="C2" s="22"/>
      <c r="D2" s="22"/>
      <c r="E2" s="22"/>
      <c r="G2" s="6" t="s">
        <v>48</v>
      </c>
      <c r="H2" s="22"/>
    </row>
    <row r="3" spans="1:8" ht="14.25" customHeight="1" x14ac:dyDescent="0.3">
      <c r="A3" s="15" t="s">
        <v>1</v>
      </c>
      <c r="B3" s="22"/>
      <c r="C3" s="22"/>
      <c r="D3" s="22"/>
      <c r="E3" s="22"/>
    </row>
    <row r="4" spans="1:8" ht="14.25" customHeight="1" x14ac:dyDescent="0.3">
      <c r="A4" s="15" t="s">
        <v>2</v>
      </c>
      <c r="B4" s="22"/>
      <c r="C4" s="22"/>
      <c r="D4" s="22"/>
      <c r="E4" s="22"/>
    </row>
    <row r="5" spans="1:8" ht="14.25" customHeight="1" x14ac:dyDescent="0.3">
      <c r="A5" s="15" t="s">
        <v>3</v>
      </c>
      <c r="B5" s="22"/>
      <c r="C5" s="22"/>
      <c r="D5" s="22"/>
      <c r="E5" s="22"/>
    </row>
    <row r="6" spans="1:8" ht="14.25" customHeight="1" x14ac:dyDescent="0.3">
      <c r="A6" s="15" t="s">
        <v>4</v>
      </c>
      <c r="B6" s="13"/>
      <c r="C6" s="13"/>
      <c r="D6" s="13"/>
      <c r="E6" s="16"/>
    </row>
    <row r="7" spans="1:8" ht="14.25" customHeight="1" x14ac:dyDescent="0.3">
      <c r="A7" s="15" t="s">
        <v>5</v>
      </c>
      <c r="B7" s="13"/>
      <c r="C7" s="13"/>
      <c r="D7" s="13"/>
      <c r="E7" s="13"/>
    </row>
    <row r="8" spans="1:8" ht="14.25" customHeight="1" x14ac:dyDescent="0.3">
      <c r="A8" s="15" t="s">
        <v>6</v>
      </c>
      <c r="B8" s="19"/>
      <c r="C8" s="19"/>
      <c r="D8" s="19"/>
      <c r="E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Macierz kowariancji</vt:lpstr>
      <vt:lpstr>Wartości własne</vt:lpstr>
      <vt:lpstr>Wartości właśne (centrowane)</vt:lpstr>
      <vt:lpstr>Główne składowe (centrowane)</vt:lpstr>
      <vt:lpstr>Główne składowe</vt:lpstr>
      <vt:lpstr>Ładunki</vt:lpstr>
      <vt:lpstr>Ładunki (centrowane)</vt:lpstr>
      <vt:lpstr>Regresja głównych składowych</vt:lpstr>
      <vt:lpstr>Regresja danych rzeczywistych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Matycz</dc:creator>
  <cp:lastModifiedBy>Paulinka</cp:lastModifiedBy>
  <dcterms:created xsi:type="dcterms:W3CDTF">2018-01-12T10:25:18Z</dcterms:created>
  <dcterms:modified xsi:type="dcterms:W3CDTF">2018-02-06T16:19:50Z</dcterms:modified>
</cp:coreProperties>
</file>